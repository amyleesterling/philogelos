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myle\philogelos\"/>
    </mc:Choice>
  </mc:AlternateContent>
  <xr:revisionPtr revIDLastSave="0" documentId="13_ncr:1_{5D373626-1F5F-4674-8FE5-CBB8D52A9944}" xr6:coauthVersionLast="47" xr6:coauthVersionMax="47" xr10:uidLastSave="{00000000-0000-0000-0000-000000000000}"/>
  <bookViews>
    <workbookView xWindow="2010" yWindow="1185" windowWidth="28800" windowHeight="17145" xr2:uid="{00000000-000D-0000-FFFF-FFFF00000000}"/>
  </bookViews>
  <sheets>
    <sheet name="Questions" sheetId="1" r:id="rId1"/>
    <sheet name="Categories" sheetId="2" r:id="rId2"/>
    <sheet name="Arc Design" sheetId="3" r:id="rId3"/>
    <sheet name="Cost Architectur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2" l="1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<sst xmlns="http://schemas.openxmlformats.org/spreadsheetml/2006/main" count="344" uniqueCount="286">
  <si>
    <t>Day</t>
  </si>
  <si>
    <t>Question</t>
  </si>
  <si>
    <t>Category</t>
  </si>
  <si>
    <t>Why This Works</t>
  </si>
  <si>
    <t>Builds On</t>
  </si>
  <si>
    <t>AI Reflection Seed</t>
  </si>
  <si>
    <t>If your life had a theme song that played every time you walked into a room, what would it be?</t>
  </si>
  <si>
    <t>Identity</t>
  </si>
  <si>
    <t>Music choices reveal emotional self-image without asking directly</t>
  </si>
  <si>
    <t>Track how self-image evolves. Does their song choice shift over months?</t>
  </si>
  <si>
    <t>What's something you believe that most people you know would disagree with?</t>
  </si>
  <si>
    <t>Values</t>
  </si>
  <si>
    <t>Surfaces conviction vs conformity. The answer AND the hesitation matter.</t>
  </si>
  <si>
    <t>Note which beliefs they hold tightly vs loosely over time</t>
  </si>
  <si>
    <t>You get one meal, forever. Every dinner for the rest of your life. What is it?</t>
  </si>
  <si>
    <t>Preferences</t>
  </si>
  <si>
    <t>Constraint reveals priority. Comfort vs adventure vs nostalgia.</t>
  </si>
  <si>
    <t>Callback fuel — "You chose ___ on Day 3. Still your forever meal?"</t>
  </si>
  <si>
    <t>What's something you used to be absolutely sure about but aren't anymore?</t>
  </si>
  <si>
    <t>Growth</t>
  </si>
  <si>
    <t>Directly surfaces self-awareness about change. Early growth baseline.</t>
  </si>
  <si>
    <t>Core growth marker. Revisit at Day 60, 120.</t>
  </si>
  <si>
    <t>If you could have dinner with anyone, dead or alive — but you can't ask them any questions, you can only listen — who do you pick?</t>
  </si>
  <si>
    <t>Curiosity</t>
  </si>
  <si>
    <t>Twist on the classic. Removes performance, reveals who they genuinely want to learn from.</t>
  </si>
  <si>
    <t>Who they want to listen to says more than who they want to impress</t>
  </si>
  <si>
    <t>What's the most recent thing that made you laugh until you couldn't breathe?</t>
  </si>
  <si>
    <t>Joy</t>
  </si>
  <si>
    <t>Humor = values + worldview. Totally disarming.</t>
  </si>
  <si>
    <t>Track joy patterns — what consistently makes them laugh?</t>
  </si>
  <si>
    <t>What's a hill you will absolutely die on that is completely stupid?</t>
  </si>
  <si>
    <t>Personality</t>
  </si>
  <si>
    <t>Permission to be irrational and passionate. Week 1 capstone — they're comfortable now.</t>
  </si>
  <si>
    <t>The silly hills often connect to real values underneath</t>
  </si>
  <si>
    <t>What's the best advice you've ever ignored?</t>
  </si>
  <si>
    <t>Wisdom</t>
  </si>
  <si>
    <t>Reveals the gap between knowing and doing. Very human.</t>
  </si>
  <si>
    <t>Day 4</t>
  </si>
  <si>
    <t>Compare with Day 4 — are their certainty-shifts and ignored-advice related?</t>
  </si>
  <si>
    <t>If you had to describe yourself using only three questions (not answers), what would they be?</t>
  </si>
  <si>
    <t>Self-Knowledge</t>
  </si>
  <si>
    <t>Meta-question. The questions they ask reveal what they think matters.</t>
  </si>
  <si>
    <t>These three questions become a personal compass to revisit</t>
  </si>
  <si>
    <t>What do you think your 80-year-old self would want to tell you right now?</t>
  </si>
  <si>
    <t>Time</t>
  </si>
  <si>
    <t>Future self as advisor. Surfaces what they suspect they're getting wrong.</t>
  </si>
  <si>
    <t>Pair with Day 4 (what they stopped believing) for growth trajectory</t>
  </si>
  <si>
    <t>Who in your life makes you feel most like yourself?</t>
  </si>
  <si>
    <t>Relationships</t>
  </si>
  <si>
    <t>Not "who do you love most" — who lets you be you. Different answer.</t>
  </si>
  <si>
    <t>Track relationship references across answers. Who keeps appearing?</t>
  </si>
  <si>
    <t>What would you do with your life if money was irrelevant and nobody would judge you?</t>
  </si>
  <si>
    <t>Purpose</t>
  </si>
  <si>
    <t>Removes the two biggest constraints. What's left is close to the truth.</t>
  </si>
  <si>
    <t>Compare with what they actually do. The gap is the story.</t>
  </si>
  <si>
    <t>What's a small, everyday thing that you think is genuinely beautiful?</t>
  </si>
  <si>
    <t>Attention</t>
  </si>
  <si>
    <t>What you find beautiful reveals where you pay attention. Philosophy 101.</t>
  </si>
  <si>
    <t>Build a collection of their beautiful things over months</t>
  </si>
  <si>
    <t>If your younger self could see your life right now, what would surprise them most?</t>
  </si>
  <si>
    <t>Week 2 capstone. Bridges past and present self.</t>
  </si>
  <si>
    <t>Day 4, Day 10</t>
  </si>
  <si>
    <t>Triangulate: past certainties, current doubts, younger self's surprise</t>
  </si>
  <si>
    <t>What's something you're afraid of that has nothing to do with physical danger?</t>
  </si>
  <si>
    <t>Fear</t>
  </si>
  <si>
    <t>Emotional/existential fear. Vulnerability spike — they're ready by now.</t>
  </si>
  <si>
    <t>Fears reveal values. What you're afraid to lose = what matters most.</t>
  </si>
  <si>
    <t>Is there something you keep almost saying to someone but never do? (You don't have to say what — just who, and why you haven't.)</t>
  </si>
  <si>
    <t>Permission to be vague. The restraint itself is the data.</t>
  </si>
  <si>
    <t>Day 11</t>
  </si>
  <si>
    <t>Unsaid things are load-bearing walls in someone's emotional architecture</t>
  </si>
  <si>
    <t>You find a wallet with $2,000 and an ID. You're broke. No cameras. No one will ever know. What do you actually do?</t>
  </si>
  <si>
    <t>Ethics</t>
  </si>
  <si>
    <t>Not what SHOULD you do. What WOULD you do. The honesty matters more than the answer.</t>
  </si>
  <si>
    <t>Frame reflection around the gap (or alignment) between should and would</t>
  </si>
  <si>
    <t>What's something you spend time on that you can't really justify but refuse to give up?</t>
  </si>
  <si>
    <t>Authenticity</t>
  </si>
  <si>
    <t>The unjustifiable things are often the most real.</t>
  </si>
  <si>
    <t>Day 12</t>
  </si>
  <si>
    <t>Compare with Day 12 (no judgment/money). Are these the same things?</t>
  </si>
  <si>
    <t>If you could know the absolute truth about one thing, what would you want to know?</t>
  </si>
  <si>
    <t>Reveals their deepest question. Some will go cosmic, some personal.</t>
  </si>
  <si>
    <t>Day 5</t>
  </si>
  <si>
    <t>The question they'd ask the universe vs who they'd listen to (Day 5)</t>
  </si>
  <si>
    <t>What do you think happens after we die? And how much does your answer affect how you live?</t>
  </si>
  <si>
    <t>Mortality</t>
  </si>
  <si>
    <t>The big one. But the second half is the real question.</t>
  </si>
  <si>
    <t>How belief about death shapes life choices. Core philosophical territory.</t>
  </si>
  <si>
    <t>What's something you've done that you're proud of that nobody else knows about or would care about?</t>
  </si>
  <si>
    <t>Self-Worth</t>
  </si>
  <si>
    <t>Week 3 capstone. Pride without audience = intrinsic values.</t>
  </si>
  <si>
    <t>Day 13</t>
  </si>
  <si>
    <t>Private pride + private beauty (Day 13) = their inner world's blueprint</t>
  </si>
  <si>
    <t>If your life so far was a book, what would this chapter be called?</t>
  </si>
  <si>
    <t>Narrative</t>
  </si>
  <si>
    <t>Story-making. How they frame their current moment.</t>
  </si>
  <si>
    <t>Revisit every 90 days. Chapter titles track life transitions.</t>
  </si>
  <si>
    <t>What's a question nobody has ever asked you that you wish someone would?</t>
  </si>
  <si>
    <t>Depth</t>
  </si>
  <si>
    <t>They write their own question. Often the most revealing answer of all.</t>
  </si>
  <si>
    <t>Day 9</t>
  </si>
  <si>
    <t>Compare with Day 9's self-description questions. Convergence = self-knowledge.</t>
  </si>
  <si>
    <t>Do you think you're living the life you were meant to live, or the one you ended up in?</t>
  </si>
  <si>
    <t>Agency</t>
  </si>
  <si>
    <t>Meant vs ended-up. Fate vs choice. No wrong answer, only honest ones.</t>
  </si>
  <si>
    <t>Layer with Day 12 (no constraints) and Day 10 (80-year-old advice)</t>
  </si>
  <si>
    <t>What would you want someone to say about you at your funeral that isn't true yet?</t>
  </si>
  <si>
    <t>Aspiration</t>
  </si>
  <si>
    <t>The gap between who you are and who you want to become.</t>
  </si>
  <si>
    <t>Day 14</t>
  </si>
  <si>
    <t>This IS their growth edge. Revisit at 90, 180 days.</t>
  </si>
  <si>
    <t>Is there a version of yourself you've outgrown but kind of miss?</t>
  </si>
  <si>
    <t>Change</t>
  </si>
  <si>
    <t>Nostalgia for shed selves. Growth has costs.</t>
  </si>
  <si>
    <t>Day 4, Day 14</t>
  </si>
  <si>
    <t>Past beliefs + younger self + outgrown versions = identity archaeology</t>
  </si>
  <si>
    <t>What's the most important thing you've changed your mind about in the last year?</t>
  </si>
  <si>
    <t>Concrete, recent. Evidence they're still evolving.</t>
  </si>
  <si>
    <t>Day 4 was lifetime. Day 27 is this year. Track the pace of change.</t>
  </si>
  <si>
    <t>If you could send a one-sentence message to everyone on Earth, what would you say?</t>
  </si>
  <si>
    <t>Universal message reveals core values distilled.</t>
  </si>
  <si>
    <t>Day 2</t>
  </si>
  <si>
    <t>Compare with Day 2's contrarian belief. Public message vs private conviction.</t>
  </si>
  <si>
    <t>Looking at your answers from this month — what surprised you?</t>
  </si>
  <si>
    <t>Reflection</t>
  </si>
  <si>
    <t>First meta-moment. They review their own portrait.</t>
  </si>
  <si>
    <t>All</t>
  </si>
  <si>
    <t>AI reflection here: synthesize patterns, growth, contradictions WITH WARMTH.</t>
  </si>
  <si>
    <t>What question do you want to wake up to tomorrow?</t>
  </si>
  <si>
    <t>They design their own Day 31. The student becomes the philosopher.</t>
  </si>
  <si>
    <t>Use their question. They're co-creating the experience now.</t>
  </si>
  <si>
    <t>Count</t>
  </si>
  <si>
    <t>Philosophy Connection</t>
  </si>
  <si>
    <t>Emotional Temperature</t>
  </si>
  <si>
    <t>Know thyself (Socrates)</t>
  </si>
  <si>
    <t>Warm</t>
  </si>
  <si>
    <t>Ethics, moral philosophy</t>
  </si>
  <si>
    <t>Medium</t>
  </si>
  <si>
    <t>Aesthetics, phenomenology</t>
  </si>
  <si>
    <t>Low</t>
  </si>
  <si>
    <t>Dialectics, becoming</t>
  </si>
  <si>
    <t>Epistemology, wonder</t>
  </si>
  <si>
    <t>Low-medium</t>
  </si>
  <si>
    <t>Hedonic philosophy, flourishing</t>
  </si>
  <si>
    <t>Authenticity (Sartre)</t>
  </si>
  <si>
    <t>Practical philosophy</t>
  </si>
  <si>
    <t>Metacognition, examined life</t>
  </si>
  <si>
    <t>Medium-high</t>
  </si>
  <si>
    <t>Temporal philosophy, mortality</t>
  </si>
  <si>
    <t>Buber, intersubjectivity</t>
  </si>
  <si>
    <t>High</t>
  </si>
  <si>
    <t>Existentialism, telos</t>
  </si>
  <si>
    <t>Phenomenology (Weil, Murdoch)</t>
  </si>
  <si>
    <t>Anxiety (Kierkegaard)</t>
  </si>
  <si>
    <t>Moral philosophy, Kant vs Mill</t>
  </si>
  <si>
    <t>Sartre, bad faith</t>
  </si>
  <si>
    <t>Being-toward-death (Heidegger)</t>
  </si>
  <si>
    <t>Very high</t>
  </si>
  <si>
    <t>Intrinsic value, dignity</t>
  </si>
  <si>
    <t>Narrative identity (Ricoeur)</t>
  </si>
  <si>
    <t>Questioning (Gadamer)</t>
  </si>
  <si>
    <t>Free will, determinism</t>
  </si>
  <si>
    <t>Virtue ethics, eudaimonia</t>
  </si>
  <si>
    <t>Heraclitus, impermanence</t>
  </si>
  <si>
    <t>The examined life (Socrates)</t>
  </si>
  <si>
    <t>Week</t>
  </si>
  <si>
    <t>Theme</t>
  </si>
  <si>
    <t>Emotional Range</t>
  </si>
  <si>
    <t>Design Intent</t>
  </si>
  <si>
    <t>1</t>
  </si>
  <si>
    <t>The Warm-Up</t>
  </si>
  <si>
    <t>Light &gt; Comfortable</t>
  </si>
  <si>
    <t>Build trust. Low stakes, high charm. They should be smiling and slightly surprised by how honest they're being.</t>
  </si>
  <si>
    <t>2</t>
  </si>
  <si>
    <t>Going Deeper</t>
  </si>
  <si>
    <t>Comfortable &gt; Reflective</t>
  </si>
  <si>
    <t>Relationships, time, the self. They start noticing they're thinking about these questions after they answer.</t>
  </si>
  <si>
    <t>3</t>
  </si>
  <si>
    <t>The Uncomfortable Middle</t>
  </si>
  <si>
    <t>Reflective &gt; Vulnerable</t>
  </si>
  <si>
    <t>Ethics, fear, mortality. The questions they'll think about at 2am. But they're ready because Week 1-2 built trust.</t>
  </si>
  <si>
    <t>4</t>
  </si>
  <si>
    <t>Integration</t>
  </si>
  <si>
    <t>Vulnerable &gt; Empowered</t>
  </si>
  <si>
    <t>Meaning-making. The portrait emerges. They see themselves. Day 30 hands them the pen.</t>
  </si>
  <si>
    <t>Component</t>
  </si>
  <si>
    <t>Strategy</t>
  </si>
  <si>
    <t>Tokens Per User/Month</t>
  </si>
  <si>
    <t>Cost Estimate</t>
  </si>
  <si>
    <t>COMPRESSION ARCHITECTURE</t>
  </si>
  <si>
    <t>Principle</t>
  </si>
  <si>
    <t>Compress the language, never compress the meaning. Proper nouns and formative details always survive.</t>
  </si>
  <si>
    <t>DAILY PROCESSING</t>
  </si>
  <si>
    <t>Question Delivery</t>
  </si>
  <si>
    <t>Pre-written, no AI needed. SMS via Twilio.</t>
  </si>
  <si>
    <t>0</t>
  </si>
  <si>
    <t>$0.01-0.05/msg</t>
  </si>
  <si>
    <t>Response Ingestion</t>
  </si>
  <si>
    <t>Store raw text in DB. No AI at reply time.</t>
  </si>
  <si>
    <t>DB storage only</t>
  </si>
  <si>
    <t>Micro-Summary (per reply)</t>
  </si>
  <si>
    <t>Haiku writes 1-2 sentence summary preserving proper nouns, relationships, and formative details. Replaces tags.</t>
  </si>
  <si>
    <t xml:space="preserve">  Light user (~50% reply rate)</t>
  </si>
  <si>
    <t>~40 tokens out per reply, ~60 replies/mo</t>
  </si>
  <si>
    <t>~4,800/mo</t>
  </si>
  <si>
    <t>$0.01/mo</t>
  </si>
  <si>
    <t xml:space="preserve">  Heavy user (daily, verbose)</t>
  </si>
  <si>
    <t>~80 tokens out per reply, ~30 replies/mo... wait, 120/mo</t>
  </si>
  <si>
    <t>~9,600/mo</t>
  </si>
  <si>
    <t>$0.03/mo</t>
  </si>
  <si>
    <t>WEEKLY PROCESSING</t>
  </si>
  <si>
    <t>Week Card</t>
  </si>
  <si>
    <t>Haiku reads 7 micro-summaries, writes a short paragraph. Preserves specific references (names, places, events).</t>
  </si>
  <si>
    <t xml:space="preserve">  Light user</t>
  </si>
  <si>
    <t>~150 tokens per card, ~2-3 cards/mo</t>
  </si>
  <si>
    <t>~1,200/mo</t>
  </si>
  <si>
    <t>$0.02/mo</t>
  </si>
  <si>
    <t xml:space="preserve">  Heavy user</t>
  </si>
  <si>
    <t>~250 tokens per card, ~4 cards/mo</t>
  </si>
  <si>
    <t>~4,250/mo</t>
  </si>
  <si>
    <t>$0.04/mo</t>
  </si>
  <si>
    <t>MONTHLY PROCESSING</t>
  </si>
  <si>
    <t>Monthly Portrait (Day 29)</t>
  </si>
  <si>
    <t>Sonnet reads month's week cards + micro-summaries. Generates personalized reflection.</t>
  </si>
  <si>
    <t>Reads ~3K context, generates ~300 tokens</t>
  </si>
  <si>
    <t>~3,500</t>
  </si>
  <si>
    <t>Reads ~8K context, generates ~500 tokens</t>
  </si>
  <si>
    <t>~8,500</t>
  </si>
  <si>
    <t>$0.06/mo</t>
  </si>
  <si>
    <t>QUARTERLY PROCESSING</t>
  </si>
  <si>
    <t>Quarterly Arc</t>
  </si>
  <si>
    <t>Sonnet reads 3 monthly portraits. Surfaces growth patterns across the season.</t>
  </si>
  <si>
    <t>Reads ~1K, generates ~400</t>
  </si>
  <si>
    <t>~1,400/qtr</t>
  </si>
  <si>
    <t>$0.01/mo amortized</t>
  </si>
  <si>
    <t>Reads ~2K, generates ~600</t>
  </si>
  <si>
    <t>~2,600/qtr</t>
  </si>
  <si>
    <t>$0.02/mo amortized</t>
  </si>
  <si>
    <t>ROLLING WINDOW (LONG-TERM SCALING)</t>
  </si>
  <si>
    <t>Rule</t>
  </si>
  <si>
    <t>After 6 months, older week cards get archived. Quarterly portraits replace them as canonical record.</t>
  </si>
  <si>
    <t>AI always reads:</t>
  </si>
  <si>
    <t>Current month micro-summaries (raw) + current quarter week cards + all-time monthly portraits + archived season portraits</t>
  </si>
  <si>
    <t>Max context cap</t>
  </si>
  <si>
    <t>Keeps window at ~20-25K tokens even for power users at year 2+</t>
  </si>
  <si>
    <t>20-25K max</t>
  </si>
  <si>
    <t>~$0.08/Sonnet call</t>
  </si>
  <si>
    <t>4-MONTH COST PROJECTION</t>
  </si>
  <si>
    <t>Light User (skips days, short replies)</t>
  </si>
  <si>
    <t>Heavy User (daily, verbose)</t>
  </si>
  <si>
    <t>Stored context at Month 4</t>
  </si>
  <si>
    <t>~4,800 tokens</t>
  </si>
  <si>
    <t>~15,850 tokens</t>
  </si>
  <si>
    <t>Monthly AI cost</t>
  </si>
  <si>
    <t>$0.05-0.08/mo</t>
  </si>
  <si>
    <t>$0.15-0.20/mo</t>
  </si>
  <si>
    <t>4-month AI total</t>
  </si>
  <si>
    <t>$0.20-0.32</t>
  </si>
  <si>
    <t>$0.60-0.80</t>
  </si>
  <si>
    <t>TOTAL OPERATING COSTS</t>
  </si>
  <si>
    <t>SMS (Twilio)</t>
  </si>
  <si>
    <t>1 outbound/day + inbound replies, US</t>
  </si>
  <si>
    <t>$1.50-2.00/mo</t>
  </si>
  <si>
    <t>Database (Supabase/PG)</t>
  </si>
  <si>
    <t>Micro-summaries, week cards, portraits, raw text</t>
  </si>
  <si>
    <t>$0.001/mo</t>
  </si>
  <si>
    <t>AI Processing</t>
  </si>
  <si>
    <t>Range across user types</t>
  </si>
  <si>
    <t>$0.05-0.20/mo</t>
  </si>
  <si>
    <t>TOTAL PER USER</t>
  </si>
  <si>
    <t>$1.60-2.25/mo</t>
  </si>
  <si>
    <t>BUSINESS MODEL</t>
  </si>
  <si>
    <t>Subscription Price</t>
  </si>
  <si>
    <t>$4.99/mo or $39.99/yr</t>
  </si>
  <si>
    <t>$4.99/mo</t>
  </si>
  <si>
    <t>Gross Margin</t>
  </si>
  <si>
    <t>~55-68%</t>
  </si>
  <si>
    <t>Break-even users (at $50/mo infra)</t>
  </si>
  <si>
    <t>~15-20 subscribers</t>
  </si>
  <si>
    <t>"If your life had a loading screen, what 'helpful tip' would it show?</t>
  </si>
  <si>
    <t>What’s a tiny moment from your life that still glows like it got struck by secret lightning?</t>
  </si>
  <si>
    <t>If your shadow could leave you one note on the kitchen table, what do you think it would say?</t>
  </si>
  <si>
    <t>Do you think time ever laughs at how seriously we take Tuesdays?</t>
  </si>
  <si>
    <t>If your memories had weather, what season keeps showing up the most?</t>
  </si>
  <si>
    <t>If your childhood self could review your life so far, what would they give extra points for?</t>
  </si>
  <si>
    <t>If your soul had pockets, what random little things do you think it keeps in there?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</si>
</sst>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E94560"/>
      <name val="Arial"/>
    </font>
    <font>
      <sz val="10"/>
      <color rgb="FFFFFFFF"/>
      <name val="Arial"/>
    </font>
    <font>
      <sz val="10"/>
      <color rgb="FFF5C518"/>
      <name val="Arial"/>
    </font>
    <font>
      <b/>
      <sz val="10"/>
      <color rgb="FFF5C518"/>
      <name val="Arial"/>
    </font>
    <font>
      <b/>
      <sz val="11"/>
      <color rgb="FF27AE60"/>
      <name val="Arial"/>
    </font>
    <font>
      <sz val="11"/>
      <color rgb="FF141413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E94560"/>
      </patternFill>
    </fill>
    <fill>
      <patternFill patternType="solid">
        <fgColor rgb="FF1A1A2E"/>
      </patternFill>
    </fill>
    <fill>
      <patternFill patternType="solid">
        <fgColor rgb="FF0F3460"/>
      </patternFill>
    </fill>
    <fill>
      <patternFill patternType="solid">
        <fgColor rgb="FF27AE60"/>
      </patternFill>
    </fill>
  </fills>
  <borders count="2">
    <border>
      <left/>
      <right/>
      <top/>
      <bottom/>
      <diagonal/>
    </border>
    <border>
      <left/>
      <right/>
      <top/>
      <bottom style="thin">
        <color rgb="FF33335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1" fillId="4" borderId="0" xfId="0" applyFont="1" applyFill="1" applyAlignment="1">
      <alignment horizontal="center"/>
    </xf>
    <xf numFmtId="0" fontId="3" fillId="3" borderId="0" xfId="0" applyFont="1" applyFill="1" applyAlignment="1">
      <alignment vertical="top" wrapText="1"/>
    </xf>
    <xf numFmtId="0" fontId="1" fillId="4" borderId="0" xfId="0" applyFont="1" applyFill="1"/>
    <xf numFmtId="0" fontId="1" fillId="5" borderId="0" xfId="0" applyFont="1" applyFill="1" applyAlignment="1">
      <alignment horizontal="center"/>
    </xf>
    <xf numFmtId="0" fontId="2" fillId="3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pane ySplit="1" topLeftCell="A23" activePane="bottomLeft" state="frozen"/>
      <selection pane="bottomLeft" activeCell="B39" sqref="B39"/>
    </sheetView>
  </sheetViews>
  <sheetFormatPr defaultRowHeight="15" x14ac:dyDescent="0.25"/>
  <cols>
    <col min="1" max="1" width="6" customWidth="1"/>
    <col min="2" max="2" width="55" customWidth="1"/>
    <col min="3" max="3" width="16" customWidth="1"/>
    <col min="4" max="4" width="40" customWidth="1"/>
    <col min="5" max="5" width="12" customWidth="1"/>
    <col min="6" max="6" width="45" customWidth="1"/>
  </cols>
  <sheetData>
    <row r="1" spans="1:6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1.95" customHeight="1" x14ac:dyDescent="0.25">
      <c r="A2" s="2">
        <v>1</v>
      </c>
      <c r="B2" s="3" t="s">
        <v>6</v>
      </c>
      <c r="C2" s="4" t="s">
        <v>7</v>
      </c>
      <c r="D2" s="3" t="s">
        <v>8</v>
      </c>
      <c r="E2" s="3"/>
      <c r="F2" s="3" t="s">
        <v>9</v>
      </c>
    </row>
    <row r="3" spans="1:6" ht="51.95" customHeight="1" x14ac:dyDescent="0.25">
      <c r="A3" s="2">
        <v>2</v>
      </c>
      <c r="B3" s="3" t="s">
        <v>10</v>
      </c>
      <c r="C3" s="4" t="s">
        <v>11</v>
      </c>
      <c r="D3" s="3" t="s">
        <v>12</v>
      </c>
      <c r="E3" s="3"/>
      <c r="F3" s="3" t="s">
        <v>13</v>
      </c>
    </row>
    <row r="4" spans="1:6" ht="51.95" customHeight="1" x14ac:dyDescent="0.25">
      <c r="A4" s="2">
        <v>3</v>
      </c>
      <c r="B4" s="3" t="s">
        <v>14</v>
      </c>
      <c r="C4" s="4" t="s">
        <v>15</v>
      </c>
      <c r="D4" s="3" t="s">
        <v>16</v>
      </c>
      <c r="E4" s="3"/>
      <c r="F4" s="3" t="s">
        <v>17</v>
      </c>
    </row>
    <row r="5" spans="1:6" ht="51.95" customHeight="1" x14ac:dyDescent="0.25">
      <c r="A5" s="2">
        <v>4</v>
      </c>
      <c r="B5" s="3" t="s">
        <v>18</v>
      </c>
      <c r="C5" s="4" t="s">
        <v>19</v>
      </c>
      <c r="D5" s="3" t="s">
        <v>20</v>
      </c>
      <c r="E5" s="3"/>
      <c r="F5" s="3" t="s">
        <v>21</v>
      </c>
    </row>
    <row r="6" spans="1:6" ht="51.95" customHeight="1" x14ac:dyDescent="0.25">
      <c r="A6" s="2">
        <v>5</v>
      </c>
      <c r="B6" s="3" t="s">
        <v>22</v>
      </c>
      <c r="C6" s="4" t="s">
        <v>23</v>
      </c>
      <c r="D6" s="3" t="s">
        <v>24</v>
      </c>
      <c r="E6" s="3"/>
      <c r="F6" s="3" t="s">
        <v>25</v>
      </c>
    </row>
    <row r="7" spans="1:6" ht="51.95" customHeight="1" x14ac:dyDescent="0.25">
      <c r="A7" s="2">
        <v>6</v>
      </c>
      <c r="B7" s="3" t="s">
        <v>26</v>
      </c>
      <c r="C7" s="4" t="s">
        <v>27</v>
      </c>
      <c r="D7" s="3" t="s">
        <v>28</v>
      </c>
      <c r="E7" s="3"/>
      <c r="F7" s="3" t="s">
        <v>29</v>
      </c>
    </row>
    <row r="8" spans="1:6" ht="51.95" customHeight="1" x14ac:dyDescent="0.25">
      <c r="A8" s="2">
        <v>7</v>
      </c>
      <c r="B8" s="3" t="s">
        <v>30</v>
      </c>
      <c r="C8" s="4" t="s">
        <v>31</v>
      </c>
      <c r="D8" s="3" t="s">
        <v>32</v>
      </c>
      <c r="E8" s="3"/>
      <c r="F8" s="3" t="s">
        <v>33</v>
      </c>
    </row>
    <row r="9" spans="1:6" ht="51.95" customHeight="1" x14ac:dyDescent="0.25">
      <c r="A9" s="2">
        <v>8</v>
      </c>
      <c r="B9" s="3" t="s">
        <v>34</v>
      </c>
      <c r="C9" s="4" t="s">
        <v>35</v>
      </c>
      <c r="D9" s="3" t="s">
        <v>36</v>
      </c>
      <c r="E9" s="3" t="s">
        <v>37</v>
      </c>
      <c r="F9" s="3" t="s">
        <v>38</v>
      </c>
    </row>
    <row r="10" spans="1:6" ht="51.95" customHeight="1" x14ac:dyDescent="0.25">
      <c r="A10" s="2">
        <v>9</v>
      </c>
      <c r="B10" s="3" t="s">
        <v>39</v>
      </c>
      <c r="C10" s="4" t="s">
        <v>40</v>
      </c>
      <c r="D10" s="3" t="s">
        <v>41</v>
      </c>
      <c r="E10" s="3"/>
      <c r="F10" s="3" t="s">
        <v>42</v>
      </c>
    </row>
    <row r="11" spans="1:6" ht="51.95" customHeight="1" x14ac:dyDescent="0.25">
      <c r="A11" s="2">
        <v>10</v>
      </c>
      <c r="B11" s="3" t="s">
        <v>43</v>
      </c>
      <c r="C11" s="4" t="s">
        <v>44</v>
      </c>
      <c r="D11" s="3" t="s">
        <v>45</v>
      </c>
      <c r="E11" s="3" t="s">
        <v>37</v>
      </c>
      <c r="F11" s="3" t="s">
        <v>46</v>
      </c>
    </row>
    <row r="12" spans="1:6" ht="51.95" customHeight="1" x14ac:dyDescent="0.25">
      <c r="A12" s="2">
        <v>11</v>
      </c>
      <c r="B12" s="3" t="s">
        <v>47</v>
      </c>
      <c r="C12" s="4" t="s">
        <v>48</v>
      </c>
      <c r="D12" s="3" t="s">
        <v>49</v>
      </c>
      <c r="E12" s="3"/>
      <c r="F12" s="3" t="s">
        <v>50</v>
      </c>
    </row>
    <row r="13" spans="1:6" ht="51.95" customHeight="1" x14ac:dyDescent="0.25">
      <c r="A13" s="2">
        <v>12</v>
      </c>
      <c r="B13" s="3" t="s">
        <v>51</v>
      </c>
      <c r="C13" s="4" t="s">
        <v>52</v>
      </c>
      <c r="D13" s="3" t="s">
        <v>53</v>
      </c>
      <c r="E13" s="3"/>
      <c r="F13" s="3" t="s">
        <v>54</v>
      </c>
    </row>
    <row r="14" spans="1:6" ht="51.95" customHeight="1" x14ac:dyDescent="0.25">
      <c r="A14" s="2">
        <v>13</v>
      </c>
      <c r="B14" s="3" t="s">
        <v>55</v>
      </c>
      <c r="C14" s="4" t="s">
        <v>56</v>
      </c>
      <c r="D14" s="3" t="s">
        <v>57</v>
      </c>
      <c r="E14" s="3"/>
      <c r="F14" s="3" t="s">
        <v>58</v>
      </c>
    </row>
    <row r="15" spans="1:6" ht="51.95" customHeight="1" x14ac:dyDescent="0.25">
      <c r="A15" s="2">
        <v>14</v>
      </c>
      <c r="B15" s="3" t="s">
        <v>59</v>
      </c>
      <c r="C15" s="4" t="s">
        <v>19</v>
      </c>
      <c r="D15" s="3" t="s">
        <v>60</v>
      </c>
      <c r="E15" s="3" t="s">
        <v>61</v>
      </c>
      <c r="F15" s="3" t="s">
        <v>62</v>
      </c>
    </row>
    <row r="16" spans="1:6" ht="51.95" customHeight="1" x14ac:dyDescent="0.25">
      <c r="A16" s="2">
        <v>15</v>
      </c>
      <c r="B16" s="3" t="s">
        <v>63</v>
      </c>
      <c r="C16" s="4" t="s">
        <v>64</v>
      </c>
      <c r="D16" s="3" t="s">
        <v>65</v>
      </c>
      <c r="E16" s="3"/>
      <c r="F16" s="3" t="s">
        <v>66</v>
      </c>
    </row>
    <row r="17" spans="1:6" ht="51.95" customHeight="1" x14ac:dyDescent="0.25">
      <c r="A17" s="2">
        <v>16</v>
      </c>
      <c r="B17" s="3" t="s">
        <v>67</v>
      </c>
      <c r="C17" s="4" t="s">
        <v>48</v>
      </c>
      <c r="D17" s="3" t="s">
        <v>68</v>
      </c>
      <c r="E17" s="3" t="s">
        <v>69</v>
      </c>
      <c r="F17" s="3" t="s">
        <v>70</v>
      </c>
    </row>
    <row r="18" spans="1:6" ht="51.95" customHeight="1" x14ac:dyDescent="0.25">
      <c r="A18" s="2">
        <v>17</v>
      </c>
      <c r="B18" s="3" t="s">
        <v>71</v>
      </c>
      <c r="C18" s="4" t="s">
        <v>72</v>
      </c>
      <c r="D18" s="3" t="s">
        <v>73</v>
      </c>
      <c r="E18" s="3"/>
      <c r="F18" s="3" t="s">
        <v>74</v>
      </c>
    </row>
    <row r="19" spans="1:6" ht="51.95" customHeight="1" x14ac:dyDescent="0.25">
      <c r="A19" s="2">
        <v>18</v>
      </c>
      <c r="B19" s="3" t="s">
        <v>75</v>
      </c>
      <c r="C19" s="4" t="s">
        <v>76</v>
      </c>
      <c r="D19" s="3" t="s">
        <v>77</v>
      </c>
      <c r="E19" s="3" t="s">
        <v>78</v>
      </c>
      <c r="F19" s="3" t="s">
        <v>79</v>
      </c>
    </row>
    <row r="20" spans="1:6" ht="51.95" customHeight="1" x14ac:dyDescent="0.25">
      <c r="A20" s="2">
        <v>19</v>
      </c>
      <c r="B20" s="3" t="s">
        <v>80</v>
      </c>
      <c r="C20" s="4" t="s">
        <v>23</v>
      </c>
      <c r="D20" s="3" t="s">
        <v>81</v>
      </c>
      <c r="E20" s="3" t="s">
        <v>82</v>
      </c>
      <c r="F20" s="3" t="s">
        <v>83</v>
      </c>
    </row>
    <row r="21" spans="1:6" ht="51.95" customHeight="1" x14ac:dyDescent="0.25">
      <c r="A21" s="2">
        <v>20</v>
      </c>
      <c r="B21" s="3" t="s">
        <v>84</v>
      </c>
      <c r="C21" s="4" t="s">
        <v>85</v>
      </c>
      <c r="D21" s="3" t="s">
        <v>86</v>
      </c>
      <c r="E21" s="3"/>
      <c r="F21" s="3" t="s">
        <v>87</v>
      </c>
    </row>
    <row r="22" spans="1:6" ht="51.95" customHeight="1" x14ac:dyDescent="0.25">
      <c r="A22" s="2">
        <v>21</v>
      </c>
      <c r="B22" s="3" t="s">
        <v>88</v>
      </c>
      <c r="C22" s="4" t="s">
        <v>89</v>
      </c>
      <c r="D22" s="3" t="s">
        <v>90</v>
      </c>
      <c r="E22" s="3" t="s">
        <v>91</v>
      </c>
      <c r="F22" s="3" t="s">
        <v>92</v>
      </c>
    </row>
    <row r="23" spans="1:6" ht="51.95" customHeight="1" x14ac:dyDescent="0.25">
      <c r="A23" s="2">
        <v>22</v>
      </c>
      <c r="B23" s="3" t="s">
        <v>93</v>
      </c>
      <c r="C23" s="4" t="s">
        <v>94</v>
      </c>
      <c r="D23" s="3" t="s">
        <v>95</v>
      </c>
      <c r="E23" s="3"/>
      <c r="F23" s="3" t="s">
        <v>96</v>
      </c>
    </row>
    <row r="24" spans="1:6" ht="51.95" customHeight="1" x14ac:dyDescent="0.25">
      <c r="A24" s="2">
        <v>23</v>
      </c>
      <c r="B24" s="3" t="s">
        <v>97</v>
      </c>
      <c r="C24" s="4" t="s">
        <v>98</v>
      </c>
      <c r="D24" s="3" t="s">
        <v>99</v>
      </c>
      <c r="E24" s="3" t="s">
        <v>100</v>
      </c>
      <c r="F24" s="3" t="s">
        <v>101</v>
      </c>
    </row>
    <row r="25" spans="1:6" ht="51.95" customHeight="1" x14ac:dyDescent="0.25">
      <c r="A25" s="2">
        <v>24</v>
      </c>
      <c r="B25" s="3" t="s">
        <v>102</v>
      </c>
      <c r="C25" s="4" t="s">
        <v>103</v>
      </c>
      <c r="D25" s="3" t="s">
        <v>104</v>
      </c>
      <c r="E25" s="3" t="s">
        <v>78</v>
      </c>
      <c r="F25" s="3" t="s">
        <v>105</v>
      </c>
    </row>
    <row r="26" spans="1:6" ht="51.95" customHeight="1" x14ac:dyDescent="0.25">
      <c r="A26" s="2">
        <v>25</v>
      </c>
      <c r="B26" s="3" t="s">
        <v>106</v>
      </c>
      <c r="C26" s="4" t="s">
        <v>107</v>
      </c>
      <c r="D26" s="3" t="s">
        <v>108</v>
      </c>
      <c r="E26" s="3" t="s">
        <v>109</v>
      </c>
      <c r="F26" s="3" t="s">
        <v>110</v>
      </c>
    </row>
    <row r="27" spans="1:6" ht="51.95" customHeight="1" x14ac:dyDescent="0.25">
      <c r="A27" s="2">
        <v>26</v>
      </c>
      <c r="B27" s="3" t="s">
        <v>111</v>
      </c>
      <c r="C27" s="4" t="s">
        <v>112</v>
      </c>
      <c r="D27" s="3" t="s">
        <v>113</v>
      </c>
      <c r="E27" s="3" t="s">
        <v>114</v>
      </c>
      <c r="F27" s="3" t="s">
        <v>115</v>
      </c>
    </row>
    <row r="28" spans="1:6" ht="51.95" customHeight="1" x14ac:dyDescent="0.25">
      <c r="A28" s="2">
        <v>27</v>
      </c>
      <c r="B28" s="3" t="s">
        <v>116</v>
      </c>
      <c r="C28" s="4" t="s">
        <v>19</v>
      </c>
      <c r="D28" s="3" t="s">
        <v>117</v>
      </c>
      <c r="E28" s="3" t="s">
        <v>37</v>
      </c>
      <c r="F28" s="3" t="s">
        <v>118</v>
      </c>
    </row>
    <row r="29" spans="1:6" ht="51.95" customHeight="1" x14ac:dyDescent="0.25">
      <c r="A29" s="2">
        <v>28</v>
      </c>
      <c r="B29" s="3" t="s">
        <v>119</v>
      </c>
      <c r="C29" s="4" t="s">
        <v>11</v>
      </c>
      <c r="D29" s="3" t="s">
        <v>120</v>
      </c>
      <c r="E29" s="3" t="s">
        <v>121</v>
      </c>
      <c r="F29" s="3" t="s">
        <v>122</v>
      </c>
    </row>
    <row r="30" spans="1:6" ht="51.95" customHeight="1" x14ac:dyDescent="0.25">
      <c r="A30" s="2">
        <v>29</v>
      </c>
      <c r="B30" s="3" t="s">
        <v>123</v>
      </c>
      <c r="C30" s="4" t="s">
        <v>124</v>
      </c>
      <c r="D30" s="3" t="s">
        <v>125</v>
      </c>
      <c r="E30" s="3" t="s">
        <v>126</v>
      </c>
      <c r="F30" s="3" t="s">
        <v>127</v>
      </c>
    </row>
    <row r="31" spans="1:6" ht="51.95" customHeight="1" x14ac:dyDescent="0.25">
      <c r="A31" s="2">
        <v>30</v>
      </c>
      <c r="B31" s="3" t="s">
        <v>128</v>
      </c>
      <c r="C31" s="4" t="s">
        <v>103</v>
      </c>
      <c r="D31" s="3" t="s">
        <v>129</v>
      </c>
      <c r="E31" s="3" t="s">
        <v>126</v>
      </c>
      <c r="F31" s="3" t="s">
        <v>130</v>
      </c>
    </row>
    <row r="32" spans="1:6" ht="16.5" x14ac:dyDescent="0.3">
      <c r="B32" s="12" t="s">
        <v>279</v>
      </c>
    </row>
    <row r="33" spans="2:2" x14ac:dyDescent="0.25">
      <c r="B33" t="s">
        <v>280</v>
      </c>
    </row>
    <row r="34" spans="2:2" x14ac:dyDescent="0.25">
      <c r="B34" t="s">
        <v>281</v>
      </c>
    </row>
    <row r="35" spans="2:2" x14ac:dyDescent="0.25">
      <c r="B35" t="s">
        <v>282</v>
      </c>
    </row>
    <row r="36" spans="2:2" x14ac:dyDescent="0.25">
      <c r="B36" t="s">
        <v>283</v>
      </c>
    </row>
    <row r="37" spans="2:2" x14ac:dyDescent="0.25">
      <c r="B37" t="s">
        <v>284</v>
      </c>
    </row>
    <row r="38" spans="2:2" x14ac:dyDescent="0.25">
      <c r="B38" t="s">
        <v>285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5C518"/>
  </sheetPr>
  <dimension ref="A1:D25"/>
  <sheetViews>
    <sheetView workbookViewId="0"/>
  </sheetViews>
  <sheetFormatPr defaultRowHeight="15" x14ac:dyDescent="0.25"/>
  <cols>
    <col min="1" max="1" width="18" customWidth="1"/>
    <col min="2" max="2" width="8" customWidth="1"/>
    <col min="3" max="3" width="35" customWidth="1"/>
    <col min="4" max="4" width="28" customWidth="1"/>
  </cols>
  <sheetData>
    <row r="1" spans="1:4" x14ac:dyDescent="0.25">
      <c r="A1" s="5" t="s">
        <v>2</v>
      </c>
      <c r="B1" s="5" t="s">
        <v>131</v>
      </c>
      <c r="C1" s="5" t="s">
        <v>132</v>
      </c>
      <c r="D1" s="5" t="s">
        <v>133</v>
      </c>
    </row>
    <row r="2" spans="1:4" x14ac:dyDescent="0.25">
      <c r="A2" s="6" t="s">
        <v>7</v>
      </c>
      <c r="B2" s="6">
        <f>COUNTIF(Questions!C:C,A2)</f>
        <v>1</v>
      </c>
      <c r="C2" s="6" t="s">
        <v>134</v>
      </c>
      <c r="D2" s="6" t="s">
        <v>135</v>
      </c>
    </row>
    <row r="3" spans="1:4" x14ac:dyDescent="0.25">
      <c r="A3" s="6" t="s">
        <v>11</v>
      </c>
      <c r="B3" s="6">
        <f>COUNTIF(Questions!C:C,A3)</f>
        <v>2</v>
      </c>
      <c r="C3" s="6" t="s">
        <v>136</v>
      </c>
      <c r="D3" s="6" t="s">
        <v>137</v>
      </c>
    </row>
    <row r="4" spans="1:4" x14ac:dyDescent="0.25">
      <c r="A4" s="6" t="s">
        <v>15</v>
      </c>
      <c r="B4" s="6">
        <f>COUNTIF(Questions!C:C,A4)</f>
        <v>1</v>
      </c>
      <c r="C4" s="6" t="s">
        <v>138</v>
      </c>
      <c r="D4" s="6" t="s">
        <v>139</v>
      </c>
    </row>
    <row r="5" spans="1:4" x14ac:dyDescent="0.25">
      <c r="A5" s="6" t="s">
        <v>19</v>
      </c>
      <c r="B5" s="6">
        <f>COUNTIF(Questions!C:C,A5)</f>
        <v>3</v>
      </c>
      <c r="C5" s="6" t="s">
        <v>140</v>
      </c>
      <c r="D5" s="6" t="s">
        <v>137</v>
      </c>
    </row>
    <row r="6" spans="1:4" x14ac:dyDescent="0.25">
      <c r="A6" s="6" t="s">
        <v>23</v>
      </c>
      <c r="B6" s="6">
        <f>COUNTIF(Questions!C:C,A6)</f>
        <v>2</v>
      </c>
      <c r="C6" s="6" t="s">
        <v>141</v>
      </c>
      <c r="D6" s="6" t="s">
        <v>142</v>
      </c>
    </row>
    <row r="7" spans="1:4" x14ac:dyDescent="0.25">
      <c r="A7" s="6" t="s">
        <v>27</v>
      </c>
      <c r="B7" s="6">
        <f>COUNTIF(Questions!C:C,A7)</f>
        <v>1</v>
      </c>
      <c r="C7" s="6" t="s">
        <v>143</v>
      </c>
      <c r="D7" s="6" t="s">
        <v>139</v>
      </c>
    </row>
    <row r="8" spans="1:4" x14ac:dyDescent="0.25">
      <c r="A8" s="6" t="s">
        <v>31</v>
      </c>
      <c r="B8" s="6">
        <f>COUNTIF(Questions!C:C,A8)</f>
        <v>1</v>
      </c>
      <c r="C8" s="6" t="s">
        <v>144</v>
      </c>
      <c r="D8" s="6" t="s">
        <v>139</v>
      </c>
    </row>
    <row r="9" spans="1:4" x14ac:dyDescent="0.25">
      <c r="A9" s="6" t="s">
        <v>35</v>
      </c>
      <c r="B9" s="6">
        <f>COUNTIF(Questions!C:C,A9)</f>
        <v>1</v>
      </c>
      <c r="C9" s="6" t="s">
        <v>145</v>
      </c>
      <c r="D9" s="6" t="s">
        <v>137</v>
      </c>
    </row>
    <row r="10" spans="1:4" x14ac:dyDescent="0.25">
      <c r="A10" s="6" t="s">
        <v>40</v>
      </c>
      <c r="B10" s="6">
        <f>COUNTIF(Questions!C:C,A10)</f>
        <v>1</v>
      </c>
      <c r="C10" s="6" t="s">
        <v>146</v>
      </c>
      <c r="D10" s="6" t="s">
        <v>147</v>
      </c>
    </row>
    <row r="11" spans="1:4" x14ac:dyDescent="0.25">
      <c r="A11" s="6" t="s">
        <v>44</v>
      </c>
      <c r="B11" s="6">
        <f>COUNTIF(Questions!C:C,A11)</f>
        <v>1</v>
      </c>
      <c r="C11" s="6" t="s">
        <v>148</v>
      </c>
      <c r="D11" s="6" t="s">
        <v>147</v>
      </c>
    </row>
    <row r="12" spans="1:4" x14ac:dyDescent="0.25">
      <c r="A12" s="6" t="s">
        <v>48</v>
      </c>
      <c r="B12" s="6">
        <f>COUNTIF(Questions!C:C,A12)</f>
        <v>2</v>
      </c>
      <c r="C12" s="6" t="s">
        <v>149</v>
      </c>
      <c r="D12" s="6" t="s">
        <v>150</v>
      </c>
    </row>
    <row r="13" spans="1:4" x14ac:dyDescent="0.25">
      <c r="A13" s="6" t="s">
        <v>52</v>
      </c>
      <c r="B13" s="6">
        <f>COUNTIF(Questions!C:C,A13)</f>
        <v>1</v>
      </c>
      <c r="C13" s="6" t="s">
        <v>151</v>
      </c>
      <c r="D13" s="6" t="s">
        <v>150</v>
      </c>
    </row>
    <row r="14" spans="1:4" x14ac:dyDescent="0.25">
      <c r="A14" s="6" t="s">
        <v>56</v>
      </c>
      <c r="B14" s="6">
        <f>COUNTIF(Questions!C:C,A14)</f>
        <v>1</v>
      </c>
      <c r="C14" s="6" t="s">
        <v>152</v>
      </c>
      <c r="D14" s="6" t="s">
        <v>139</v>
      </c>
    </row>
    <row r="15" spans="1:4" x14ac:dyDescent="0.25">
      <c r="A15" s="6" t="s">
        <v>64</v>
      </c>
      <c r="B15" s="6">
        <f>COUNTIF(Questions!C:C,A15)</f>
        <v>1</v>
      </c>
      <c r="C15" s="6" t="s">
        <v>153</v>
      </c>
      <c r="D15" s="6" t="s">
        <v>150</v>
      </c>
    </row>
    <row r="16" spans="1:4" x14ac:dyDescent="0.25">
      <c r="A16" s="6" t="s">
        <v>72</v>
      </c>
      <c r="B16" s="6">
        <f>COUNTIF(Questions!C:C,A16)</f>
        <v>1</v>
      </c>
      <c r="C16" s="6" t="s">
        <v>154</v>
      </c>
      <c r="D16" s="6" t="s">
        <v>150</v>
      </c>
    </row>
    <row r="17" spans="1:4" x14ac:dyDescent="0.25">
      <c r="A17" s="6" t="s">
        <v>76</v>
      </c>
      <c r="B17" s="6">
        <f>COUNTIF(Questions!C:C,A17)</f>
        <v>1</v>
      </c>
      <c r="C17" s="6" t="s">
        <v>155</v>
      </c>
      <c r="D17" s="6" t="s">
        <v>137</v>
      </c>
    </row>
    <row r="18" spans="1:4" x14ac:dyDescent="0.25">
      <c r="A18" s="6" t="s">
        <v>85</v>
      </c>
      <c r="B18" s="6">
        <f>COUNTIF(Questions!C:C,A18)</f>
        <v>1</v>
      </c>
      <c r="C18" s="6" t="s">
        <v>156</v>
      </c>
      <c r="D18" s="6" t="s">
        <v>157</v>
      </c>
    </row>
    <row r="19" spans="1:4" x14ac:dyDescent="0.25">
      <c r="A19" s="6" t="s">
        <v>89</v>
      </c>
      <c r="B19" s="6">
        <f>COUNTIF(Questions!C:C,A19)</f>
        <v>1</v>
      </c>
      <c r="C19" s="6" t="s">
        <v>158</v>
      </c>
      <c r="D19" s="6" t="s">
        <v>150</v>
      </c>
    </row>
    <row r="20" spans="1:4" x14ac:dyDescent="0.25">
      <c r="A20" s="6" t="s">
        <v>94</v>
      </c>
      <c r="B20" s="6">
        <f>COUNTIF(Questions!C:C,A20)</f>
        <v>1</v>
      </c>
      <c r="C20" s="6" t="s">
        <v>159</v>
      </c>
      <c r="D20" s="6" t="s">
        <v>137</v>
      </c>
    </row>
    <row r="21" spans="1:4" x14ac:dyDescent="0.25">
      <c r="A21" s="6" t="s">
        <v>98</v>
      </c>
      <c r="B21" s="6">
        <f>COUNTIF(Questions!C:C,A21)</f>
        <v>1</v>
      </c>
      <c r="C21" s="6" t="s">
        <v>160</v>
      </c>
      <c r="D21" s="6" t="s">
        <v>150</v>
      </c>
    </row>
    <row r="22" spans="1:4" x14ac:dyDescent="0.25">
      <c r="A22" s="6" t="s">
        <v>103</v>
      </c>
      <c r="B22" s="6">
        <f>COUNTIF(Questions!C:CC,A22)</f>
        <v>2</v>
      </c>
      <c r="C22" s="6" t="s">
        <v>161</v>
      </c>
      <c r="D22" s="6" t="s">
        <v>150</v>
      </c>
    </row>
    <row r="23" spans="1:4" x14ac:dyDescent="0.25">
      <c r="A23" s="6" t="s">
        <v>107</v>
      </c>
      <c r="B23" s="6">
        <f>COUNTIF(Questions!C:C,A23)</f>
        <v>1</v>
      </c>
      <c r="C23" s="6" t="s">
        <v>162</v>
      </c>
      <c r="D23" s="6" t="s">
        <v>150</v>
      </c>
    </row>
    <row r="24" spans="1:4" x14ac:dyDescent="0.25">
      <c r="A24" s="6" t="s">
        <v>112</v>
      </c>
      <c r="B24" s="6">
        <f>COUNTIF(Questions!C:C,A24)</f>
        <v>1</v>
      </c>
      <c r="C24" s="6" t="s">
        <v>163</v>
      </c>
      <c r="D24" s="6" t="s">
        <v>137</v>
      </c>
    </row>
    <row r="25" spans="1:4" x14ac:dyDescent="0.25">
      <c r="A25" s="6" t="s">
        <v>124</v>
      </c>
      <c r="B25" s="6">
        <f>COUNTIF(Questions!C:C,A25)</f>
        <v>1</v>
      </c>
      <c r="C25" s="6" t="s">
        <v>164</v>
      </c>
      <c r="D25" s="6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94560"/>
  </sheetPr>
  <dimension ref="A1:D5"/>
  <sheetViews>
    <sheetView workbookViewId="0"/>
  </sheetViews>
  <sheetFormatPr defaultRowHeight="15" x14ac:dyDescent="0.25"/>
  <cols>
    <col min="1" max="1" width="8" customWidth="1"/>
    <col min="2" max="2" width="24" customWidth="1"/>
    <col min="3" max="3" width="28" customWidth="1"/>
    <col min="4" max="4" width="70" customWidth="1"/>
  </cols>
  <sheetData>
    <row r="1" spans="1:4" x14ac:dyDescent="0.25">
      <c r="A1" s="7" t="s">
        <v>165</v>
      </c>
      <c r="B1" s="7" t="s">
        <v>166</v>
      </c>
      <c r="C1" s="7" t="s">
        <v>167</v>
      </c>
      <c r="D1" s="7" t="s">
        <v>168</v>
      </c>
    </row>
    <row r="2" spans="1:4" ht="60" customHeight="1" x14ac:dyDescent="0.25">
      <c r="A2" s="6" t="s">
        <v>169</v>
      </c>
      <c r="B2" s="6" t="s">
        <v>170</v>
      </c>
      <c r="C2" s="6" t="s">
        <v>171</v>
      </c>
      <c r="D2" s="6" t="s">
        <v>172</v>
      </c>
    </row>
    <row r="3" spans="1:4" ht="60" customHeight="1" x14ac:dyDescent="0.25">
      <c r="A3" s="6" t="s">
        <v>173</v>
      </c>
      <c r="B3" s="6" t="s">
        <v>174</v>
      </c>
      <c r="C3" s="6" t="s">
        <v>175</v>
      </c>
      <c r="D3" s="6" t="s">
        <v>176</v>
      </c>
    </row>
    <row r="4" spans="1:4" ht="60" customHeight="1" x14ac:dyDescent="0.25">
      <c r="A4" s="6" t="s">
        <v>177</v>
      </c>
      <c r="B4" s="6" t="s">
        <v>178</v>
      </c>
      <c r="C4" s="6" t="s">
        <v>179</v>
      </c>
      <c r="D4" s="6" t="s">
        <v>180</v>
      </c>
    </row>
    <row r="5" spans="1:4" ht="60" customHeight="1" x14ac:dyDescent="0.25">
      <c r="A5" s="6" t="s">
        <v>181</v>
      </c>
      <c r="B5" s="6" t="s">
        <v>182</v>
      </c>
      <c r="C5" s="6" t="s">
        <v>183</v>
      </c>
      <c r="D5" s="6" t="s">
        <v>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7AE60"/>
  </sheetPr>
  <dimension ref="A1:D47"/>
  <sheetViews>
    <sheetView workbookViewId="0"/>
  </sheetViews>
  <sheetFormatPr defaultRowHeight="15" x14ac:dyDescent="0.25"/>
  <cols>
    <col min="1" max="1" width="24" customWidth="1"/>
    <col min="2" max="2" width="55" customWidth="1"/>
    <col min="3" max="3" width="22" customWidth="1"/>
    <col min="4" max="4" width="20" customWidth="1"/>
  </cols>
  <sheetData>
    <row r="1" spans="1:4" x14ac:dyDescent="0.25">
      <c r="A1" s="8" t="s">
        <v>185</v>
      </c>
      <c r="B1" s="8" t="s">
        <v>186</v>
      </c>
      <c r="C1" s="8" t="s">
        <v>187</v>
      </c>
      <c r="D1" s="8" t="s">
        <v>188</v>
      </c>
    </row>
    <row r="2" spans="1:4" ht="36" customHeight="1" x14ac:dyDescent="0.25">
      <c r="A2" s="6"/>
      <c r="B2" s="6" t="s">
        <v>189</v>
      </c>
      <c r="C2" s="6"/>
      <c r="D2" s="6"/>
    </row>
    <row r="3" spans="1:4" ht="36" customHeight="1" x14ac:dyDescent="0.25">
      <c r="A3" s="9" t="s">
        <v>190</v>
      </c>
      <c r="B3" s="9" t="s">
        <v>191</v>
      </c>
      <c r="C3" s="9"/>
      <c r="D3" s="9"/>
    </row>
    <row r="4" spans="1:4" ht="36" customHeight="1" x14ac:dyDescent="0.25">
      <c r="A4" s="6"/>
      <c r="B4" s="6"/>
      <c r="C4" s="6"/>
      <c r="D4" s="6"/>
    </row>
    <row r="5" spans="1:4" ht="36" customHeight="1" x14ac:dyDescent="0.25">
      <c r="A5" s="6"/>
      <c r="B5" s="6" t="s">
        <v>192</v>
      </c>
      <c r="C5" s="6"/>
      <c r="D5" s="6"/>
    </row>
    <row r="6" spans="1:4" ht="36" customHeight="1" x14ac:dyDescent="0.25">
      <c r="A6" s="9" t="s">
        <v>193</v>
      </c>
      <c r="B6" s="9" t="s">
        <v>194</v>
      </c>
      <c r="C6" s="9" t="s">
        <v>195</v>
      </c>
      <c r="D6" s="9" t="s">
        <v>196</v>
      </c>
    </row>
    <row r="7" spans="1:4" ht="36" customHeight="1" x14ac:dyDescent="0.25">
      <c r="A7" s="6" t="s">
        <v>197</v>
      </c>
      <c r="B7" s="6" t="s">
        <v>198</v>
      </c>
      <c r="C7" s="6" t="s">
        <v>195</v>
      </c>
      <c r="D7" s="6" t="s">
        <v>199</v>
      </c>
    </row>
    <row r="8" spans="1:4" ht="36" customHeight="1" x14ac:dyDescent="0.25">
      <c r="A8" s="6" t="s">
        <v>200</v>
      </c>
      <c r="B8" s="6" t="s">
        <v>201</v>
      </c>
      <c r="C8" s="6"/>
      <c r="D8" s="6"/>
    </row>
    <row r="9" spans="1:4" ht="36" customHeight="1" x14ac:dyDescent="0.25">
      <c r="A9" s="6" t="s">
        <v>202</v>
      </c>
      <c r="B9" s="6" t="s">
        <v>203</v>
      </c>
      <c r="C9" s="6" t="s">
        <v>204</v>
      </c>
      <c r="D9" s="6" t="s">
        <v>205</v>
      </c>
    </row>
    <row r="10" spans="1:4" ht="36" customHeight="1" x14ac:dyDescent="0.25">
      <c r="A10" s="6" t="s">
        <v>206</v>
      </c>
      <c r="B10" s="6" t="s">
        <v>207</v>
      </c>
      <c r="C10" s="6" t="s">
        <v>208</v>
      </c>
      <c r="D10" s="6" t="s">
        <v>209</v>
      </c>
    </row>
    <row r="11" spans="1:4" ht="36" customHeight="1" x14ac:dyDescent="0.25">
      <c r="A11" s="6"/>
      <c r="B11" s="6"/>
      <c r="C11" s="6"/>
      <c r="D11" s="6"/>
    </row>
    <row r="12" spans="1:4" ht="36" customHeight="1" x14ac:dyDescent="0.25">
      <c r="A12" s="6"/>
      <c r="B12" s="6" t="s">
        <v>210</v>
      </c>
      <c r="C12" s="6"/>
      <c r="D12" s="6"/>
    </row>
    <row r="13" spans="1:4" ht="36" customHeight="1" x14ac:dyDescent="0.25">
      <c r="A13" s="9" t="s">
        <v>211</v>
      </c>
      <c r="B13" s="9" t="s">
        <v>212</v>
      </c>
      <c r="C13" s="9"/>
      <c r="D13" s="9"/>
    </row>
    <row r="14" spans="1:4" ht="36" customHeight="1" x14ac:dyDescent="0.25">
      <c r="A14" s="6" t="s">
        <v>213</v>
      </c>
      <c r="B14" s="6" t="s">
        <v>214</v>
      </c>
      <c r="C14" s="6" t="s">
        <v>215</v>
      </c>
      <c r="D14" s="6" t="s">
        <v>216</v>
      </c>
    </row>
    <row r="15" spans="1:4" ht="36" customHeight="1" x14ac:dyDescent="0.25">
      <c r="A15" s="6" t="s">
        <v>217</v>
      </c>
      <c r="B15" s="6" t="s">
        <v>218</v>
      </c>
      <c r="C15" s="6" t="s">
        <v>219</v>
      </c>
      <c r="D15" s="6" t="s">
        <v>220</v>
      </c>
    </row>
    <row r="16" spans="1:4" ht="36" customHeight="1" x14ac:dyDescent="0.25">
      <c r="A16" s="6"/>
      <c r="B16" s="6"/>
      <c r="C16" s="6"/>
      <c r="D16" s="6"/>
    </row>
    <row r="17" spans="1:4" ht="36" customHeight="1" x14ac:dyDescent="0.25">
      <c r="A17" s="6"/>
      <c r="B17" s="6" t="s">
        <v>221</v>
      </c>
      <c r="C17" s="6"/>
      <c r="D17" s="6"/>
    </row>
    <row r="18" spans="1:4" ht="36" customHeight="1" x14ac:dyDescent="0.25">
      <c r="A18" s="9" t="s">
        <v>222</v>
      </c>
      <c r="B18" s="9" t="s">
        <v>223</v>
      </c>
      <c r="C18" s="9"/>
      <c r="D18" s="9"/>
    </row>
    <row r="19" spans="1:4" ht="36" customHeight="1" x14ac:dyDescent="0.25">
      <c r="A19" s="6" t="s">
        <v>213</v>
      </c>
      <c r="B19" s="6" t="s">
        <v>224</v>
      </c>
      <c r="C19" s="6" t="s">
        <v>225</v>
      </c>
      <c r="D19" s="6" t="s">
        <v>216</v>
      </c>
    </row>
    <row r="20" spans="1:4" ht="36" customHeight="1" x14ac:dyDescent="0.25">
      <c r="A20" s="6" t="s">
        <v>217</v>
      </c>
      <c r="B20" s="6" t="s">
        <v>226</v>
      </c>
      <c r="C20" s="6" t="s">
        <v>227</v>
      </c>
      <c r="D20" s="6" t="s">
        <v>228</v>
      </c>
    </row>
    <row r="21" spans="1:4" ht="36" customHeight="1" x14ac:dyDescent="0.25">
      <c r="A21" s="6"/>
      <c r="B21" s="6"/>
      <c r="C21" s="6"/>
      <c r="D21" s="6"/>
    </row>
    <row r="22" spans="1:4" ht="36" customHeight="1" x14ac:dyDescent="0.25">
      <c r="A22" s="6"/>
      <c r="B22" s="6" t="s">
        <v>229</v>
      </c>
      <c r="C22" s="6"/>
      <c r="D22" s="6"/>
    </row>
    <row r="23" spans="1:4" ht="36" customHeight="1" x14ac:dyDescent="0.25">
      <c r="A23" s="9" t="s">
        <v>230</v>
      </c>
      <c r="B23" s="9" t="s">
        <v>231</v>
      </c>
      <c r="C23" s="9"/>
      <c r="D23" s="9"/>
    </row>
    <row r="24" spans="1:4" ht="36" customHeight="1" x14ac:dyDescent="0.25">
      <c r="A24" s="6" t="s">
        <v>213</v>
      </c>
      <c r="B24" s="6" t="s">
        <v>232</v>
      </c>
      <c r="C24" s="6" t="s">
        <v>233</v>
      </c>
      <c r="D24" s="6" t="s">
        <v>234</v>
      </c>
    </row>
    <row r="25" spans="1:4" ht="36" customHeight="1" x14ac:dyDescent="0.25">
      <c r="A25" s="6" t="s">
        <v>217</v>
      </c>
      <c r="B25" s="6" t="s">
        <v>235</v>
      </c>
      <c r="C25" s="6" t="s">
        <v>236</v>
      </c>
      <c r="D25" s="6" t="s">
        <v>237</v>
      </c>
    </row>
    <row r="26" spans="1:4" ht="36" customHeight="1" x14ac:dyDescent="0.25">
      <c r="A26" s="6"/>
      <c r="B26" s="6"/>
      <c r="C26" s="6"/>
      <c r="D26" s="6"/>
    </row>
    <row r="27" spans="1:4" ht="36" customHeight="1" x14ac:dyDescent="0.25">
      <c r="A27" s="6"/>
      <c r="B27" s="6" t="s">
        <v>238</v>
      </c>
      <c r="C27" s="6"/>
      <c r="D27" s="6"/>
    </row>
    <row r="28" spans="1:4" ht="36" customHeight="1" x14ac:dyDescent="0.25">
      <c r="A28" s="9" t="s">
        <v>239</v>
      </c>
      <c r="B28" s="9" t="s">
        <v>240</v>
      </c>
      <c r="C28" s="9"/>
      <c r="D28" s="9"/>
    </row>
    <row r="29" spans="1:4" ht="36" customHeight="1" x14ac:dyDescent="0.25">
      <c r="A29" s="6" t="s">
        <v>241</v>
      </c>
      <c r="B29" s="6" t="s">
        <v>242</v>
      </c>
      <c r="C29" s="6"/>
      <c r="D29" s="6"/>
    </row>
    <row r="30" spans="1:4" ht="36" customHeight="1" x14ac:dyDescent="0.25">
      <c r="A30" s="6" t="s">
        <v>243</v>
      </c>
      <c r="B30" s="6" t="s">
        <v>244</v>
      </c>
      <c r="C30" s="6" t="s">
        <v>245</v>
      </c>
      <c r="D30" s="6" t="s">
        <v>246</v>
      </c>
    </row>
    <row r="31" spans="1:4" ht="36" customHeight="1" x14ac:dyDescent="0.25">
      <c r="A31" s="6"/>
      <c r="B31" s="6"/>
      <c r="C31" s="6"/>
      <c r="D31" s="6"/>
    </row>
    <row r="32" spans="1:4" ht="36" customHeight="1" x14ac:dyDescent="0.25">
      <c r="A32" s="9"/>
      <c r="B32" s="9" t="s">
        <v>247</v>
      </c>
      <c r="C32" s="9"/>
      <c r="D32" s="9"/>
    </row>
    <row r="33" spans="1:4" ht="36" customHeight="1" x14ac:dyDescent="0.25">
      <c r="A33" s="6"/>
      <c r="B33" s="6" t="s">
        <v>248</v>
      </c>
      <c r="C33" s="6" t="s">
        <v>249</v>
      </c>
      <c r="D33" s="6"/>
    </row>
    <row r="34" spans="1:4" ht="36" customHeight="1" x14ac:dyDescent="0.25">
      <c r="A34" s="6" t="s">
        <v>250</v>
      </c>
      <c r="B34" s="6" t="s">
        <v>251</v>
      </c>
      <c r="C34" s="6" t="s">
        <v>252</v>
      </c>
      <c r="D34" s="6"/>
    </row>
    <row r="35" spans="1:4" ht="36" customHeight="1" x14ac:dyDescent="0.25">
      <c r="A35" s="6" t="s">
        <v>253</v>
      </c>
      <c r="B35" s="6" t="s">
        <v>254</v>
      </c>
      <c r="C35" s="6" t="s">
        <v>255</v>
      </c>
      <c r="D35" s="6"/>
    </row>
    <row r="36" spans="1:4" ht="36" customHeight="1" x14ac:dyDescent="0.25">
      <c r="A36" s="6" t="s">
        <v>256</v>
      </c>
      <c r="B36" s="6" t="s">
        <v>257</v>
      </c>
      <c r="C36" s="6" t="s">
        <v>258</v>
      </c>
      <c r="D36" s="6"/>
    </row>
    <row r="37" spans="1:4" ht="36" customHeight="1" x14ac:dyDescent="0.25">
      <c r="A37" s="9"/>
      <c r="B37" s="9"/>
      <c r="C37" s="9"/>
      <c r="D37" s="9"/>
    </row>
    <row r="38" spans="1:4" ht="36" customHeight="1" x14ac:dyDescent="0.25">
      <c r="A38" s="6"/>
      <c r="B38" s="6" t="s">
        <v>259</v>
      </c>
      <c r="C38" s="6"/>
      <c r="D38" s="6"/>
    </row>
    <row r="39" spans="1:4" ht="36" customHeight="1" x14ac:dyDescent="0.25">
      <c r="A39" s="6" t="s">
        <v>260</v>
      </c>
      <c r="B39" s="6" t="s">
        <v>261</v>
      </c>
      <c r="C39" s="6"/>
      <c r="D39" s="6" t="s">
        <v>262</v>
      </c>
    </row>
    <row r="40" spans="1:4" ht="36" customHeight="1" x14ac:dyDescent="0.25">
      <c r="A40" s="10" t="s">
        <v>263</v>
      </c>
      <c r="B40" s="10" t="s">
        <v>264</v>
      </c>
      <c r="C40" s="10"/>
      <c r="D40" s="10" t="s">
        <v>265</v>
      </c>
    </row>
    <row r="41" spans="1:4" ht="36" customHeight="1" x14ac:dyDescent="0.25">
      <c r="A41" s="10" t="s">
        <v>266</v>
      </c>
      <c r="B41" s="10" t="s">
        <v>267</v>
      </c>
      <c r="C41" s="10"/>
      <c r="D41" s="10" t="s">
        <v>268</v>
      </c>
    </row>
    <row r="42" spans="1:4" ht="36" customHeight="1" x14ac:dyDescent="0.25">
      <c r="A42" s="6" t="s">
        <v>269</v>
      </c>
      <c r="B42" s="6"/>
      <c r="C42" s="6"/>
      <c r="D42" s="6" t="s">
        <v>270</v>
      </c>
    </row>
    <row r="43" spans="1:4" ht="36" customHeight="1" x14ac:dyDescent="0.25">
      <c r="A43" s="9"/>
      <c r="B43" s="9"/>
      <c r="C43" s="9"/>
      <c r="D43" s="9"/>
    </row>
    <row r="44" spans="1:4" ht="36" customHeight="1" x14ac:dyDescent="0.25">
      <c r="A44" s="11"/>
      <c r="B44" s="11" t="s">
        <v>271</v>
      </c>
      <c r="C44" s="11"/>
      <c r="D44" s="11"/>
    </row>
    <row r="45" spans="1:4" ht="36" customHeight="1" x14ac:dyDescent="0.25">
      <c r="A45" s="11" t="s">
        <v>272</v>
      </c>
      <c r="B45" s="11" t="s">
        <v>273</v>
      </c>
      <c r="C45" s="11"/>
      <c r="D45" s="11" t="s">
        <v>274</v>
      </c>
    </row>
    <row r="46" spans="1:4" ht="36" customHeight="1" x14ac:dyDescent="0.25">
      <c r="A46" s="11" t="s">
        <v>275</v>
      </c>
      <c r="B46" s="11"/>
      <c r="C46" s="11"/>
      <c r="D46" s="11" t="s">
        <v>276</v>
      </c>
    </row>
    <row r="47" spans="1:4" ht="36" customHeight="1" x14ac:dyDescent="0.25">
      <c r="A47" s="6" t="s">
        <v>277</v>
      </c>
      <c r="B47" s="6"/>
      <c r="C47" s="6"/>
      <c r="D47" s="6" t="s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Questions</vt:lpstr>
      <vt:lpstr>Categories</vt:lpstr>
      <vt:lpstr>Arc Design</vt:lpstr>
      <vt:lpstr>Cost Architecture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Amy L. Sterling</cp:lastModifiedBy>
  <dcterms:created xsi:type="dcterms:W3CDTF">2026-03-26T22:54:39Z</dcterms:created>
  <dcterms:modified xsi:type="dcterms:W3CDTF">2026-03-27T15:18:48Z</dcterms:modified>
</cp:coreProperties>
</file>